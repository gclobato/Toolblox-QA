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ad340200\Corp\Corsi\Guilherme Lobato\Execução\"/>
    </mc:Choice>
  </mc:AlternateContent>
  <xr:revisionPtr revIDLastSave="0" documentId="13_ncr:1_{4D100D60-6169-4EC9-B4BE-DD5521DBD049}" xr6:coauthVersionLast="47" xr6:coauthVersionMax="47" xr10:uidLastSave="{00000000-0000-0000-0000-000000000000}"/>
  <bookViews>
    <workbookView xWindow="-105" yWindow="0" windowWidth="14610" windowHeight="15585" xr2:uid="{D12676C5-0E65-4C2C-9204-0374823938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R30" i="1"/>
  <c r="A3" i="1"/>
  <c r="B3" i="1"/>
  <c r="S33" i="1" s="1"/>
  <c r="R33" i="1" l="1"/>
</calcChain>
</file>

<file path=xl/sharedStrings.xml><?xml version="1.0" encoding="utf-8"?>
<sst xmlns="http://schemas.openxmlformats.org/spreadsheetml/2006/main" count="33" uniqueCount="32">
  <si>
    <t>Qtd</t>
  </si>
  <si>
    <t>Status</t>
  </si>
  <si>
    <t>Testabilidade</t>
  </si>
  <si>
    <t>Melhoria</t>
  </si>
  <si>
    <t>Erro</t>
  </si>
  <si>
    <t xml:space="preserve">Requisitos </t>
  </si>
  <si>
    <t>Integração</t>
  </si>
  <si>
    <t>Desempenho</t>
  </si>
  <si>
    <t>Código</t>
  </si>
  <si>
    <t>Corretude</t>
  </si>
  <si>
    <t>Banco</t>
  </si>
  <si>
    <t>Artefatos de Teste</t>
  </si>
  <si>
    <t>Ambiente</t>
  </si>
  <si>
    <t>CATEGORIA</t>
  </si>
  <si>
    <t>Impeditivo</t>
  </si>
  <si>
    <t>Baixa</t>
  </si>
  <si>
    <t>Média</t>
  </si>
  <si>
    <t>Alta</t>
  </si>
  <si>
    <t>Gravidade</t>
  </si>
  <si>
    <t>GRAVIDADE</t>
  </si>
  <si>
    <t>Qtd Incid.</t>
  </si>
  <si>
    <t>Qtd Casos de Teste</t>
  </si>
  <si>
    <t>GERAL</t>
  </si>
  <si>
    <t>Qualidade</t>
  </si>
  <si>
    <t>Cobertura</t>
  </si>
  <si>
    <t>Não Executados</t>
  </si>
  <si>
    <t>Executados com Sucesso</t>
  </si>
  <si>
    <t>Executados com Defeito</t>
  </si>
  <si>
    <t>Planejados</t>
  </si>
  <si>
    <t>Casos de Teste</t>
  </si>
  <si>
    <t>Medidas de Teste</t>
  </si>
  <si>
    <t>lado oculto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</si>
</sst>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Trebuchet MS"/>
      <family val="2"/>
    </font>
    <font>
      <b/>
      <sz val="8"/>
      <name val="Trebuchet MS"/>
      <family val="2"/>
    </font>
    <font>
      <b/>
      <sz val="8"/>
      <name val="Arial"/>
      <family val="2"/>
    </font>
    <font>
      <sz val="8"/>
      <color theme="0"/>
      <name val="Trebuchet MS"/>
      <family val="2"/>
    </font>
    <font>
      <sz val="8"/>
      <color indexed="8"/>
      <name val="Trebuchet MS"/>
      <family val="2"/>
    </font>
    <font>
      <sz val="8"/>
      <color indexed="8"/>
      <name val="Arial"/>
      <family val="2"/>
    </font>
    <font>
      <b/>
      <sz val="8"/>
      <color indexed="8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4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 diagonalUp="1" diagonalDown="1">
      <left style="medium">
        <color indexed="8"/>
      </left>
      <right style="thin">
        <color indexed="8"/>
      </right>
      <top style="thin">
        <color indexed="64"/>
      </top>
      <bottom style="thin">
        <color indexed="8"/>
      </bottom>
      <diagonal style="medium">
        <color indexed="8"/>
      </diagonal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9" fontId="5" fillId="6" borderId="1" xfId="2" applyFont="1" applyFill="1" applyBorder="1" applyAlignment="1" applyProtection="1">
      <alignment horizontal="center" vertical="center" wrapText="1"/>
    </xf>
    <xf numFmtId="9" fontId="5" fillId="7" borderId="1" xfId="2" applyFont="1" applyFill="1" applyBorder="1" applyAlignment="1" applyProtection="1">
      <alignment horizontal="center" vertical="center" wrapText="1"/>
    </xf>
    <xf numFmtId="1" fontId="8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/>
    <xf numFmtId="0" fontId="5" fillId="4" borderId="3" xfId="0" applyFont="1" applyFill="1" applyBorder="1" applyAlignment="1">
      <alignment horizontal="center"/>
    </xf>
    <xf numFmtId="0" fontId="7" fillId="2" borderId="7" xfId="3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9" fontId="2" fillId="0" borderId="0" xfId="2" applyFont="1" applyProtection="1"/>
    <xf numFmtId="0" fontId="2" fillId="0" borderId="0" xfId="0" applyFont="1"/>
    <xf numFmtId="0" fontId="2" fillId="0" borderId="0" xfId="1" applyNumberFormat="1" applyFont="1" applyProtection="1"/>
    <xf numFmtId="0" fontId="9" fillId="8" borderId="9" xfId="0" applyFont="1" applyFill="1" applyBorder="1" applyAlignment="1" applyProtection="1">
      <alignment horizontal="center" vertical="center" wrapText="1"/>
      <protection locked="0"/>
    </xf>
    <xf numFmtId="0" fontId="9" fillId="8" borderId="8" xfId="0" applyFont="1" applyFill="1" applyBorder="1" applyAlignment="1" applyProtection="1">
      <alignment horizontal="center" vertical="center"/>
      <protection locked="0"/>
    </xf>
    <xf numFmtId="1" fontId="4" fillId="9" borderId="1" xfId="3" applyNumberFormat="1" applyFont="1" applyFill="1" applyBorder="1" applyProtection="1">
      <protection locked="0"/>
    </xf>
    <xf numFmtId="0" fontId="4" fillId="9" borderId="1" xfId="3" applyFont="1" applyFill="1" applyBorder="1" applyAlignment="1" applyProtection="1">
      <alignment horizontal="right"/>
      <protection locked="0"/>
    </xf>
    <xf numFmtId="1" fontId="4" fillId="9" borderId="1" xfId="3" applyNumberFormat="1" applyFont="1" applyFill="1" applyBorder="1" applyAlignment="1" applyProtection="1">
      <alignment horizontal="right"/>
      <protection locked="0"/>
    </xf>
    <xf numFmtId="0" fontId="4" fillId="9" borderId="1" xfId="3" applyFont="1" applyFill="1" applyBorder="1" applyProtection="1">
      <protection locked="0"/>
    </xf>
    <xf numFmtId="0" fontId="5" fillId="7" borderId="11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5" fillId="7" borderId="13" xfId="2" applyFont="1" applyFill="1" applyBorder="1" applyAlignment="1" applyProtection="1">
      <alignment horizontal="center"/>
    </xf>
    <xf numFmtId="9" fontId="5" fillId="7" borderId="12" xfId="2" applyFont="1" applyFill="1" applyBorder="1" applyAlignment="1" applyProtection="1">
      <alignment horizontal="center"/>
    </xf>
    <xf numFmtId="9" fontId="5" fillId="7" borderId="11" xfId="2" applyFont="1" applyFill="1" applyBorder="1" applyAlignment="1" applyProtection="1">
      <alignment horizontal="center" vertical="center" wrapText="1"/>
    </xf>
    <xf numFmtId="9" fontId="5" fillId="7" borderId="10" xfId="2" applyFont="1" applyFill="1" applyBorder="1" applyAlignment="1" applyProtection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</cellXfs>
  <cellStyles count="4">
    <cellStyle name="Normal" xfId="0" builtinId="0"/>
    <cellStyle name="Normal_1° Ciclo de Teste" xfId="3" xr:uid="{92C0E1E8-DA8E-4D10-9C48-DCE4BA605361}"/>
    <cellStyle name="Porcentagem" xfId="2" builtinId="5"/>
    <cellStyle name="Vírgula" xfId="1" builtinId="3"/>
  </cellStyles>
  <dxfs count="4">
    <dxf>
      <font>
        <b/>
        <i val="0"/>
        <color indexed="8"/>
      </font>
      <fill>
        <patternFill patternType="solid">
          <fgColor indexed="34"/>
          <bgColor indexed="13"/>
        </patternFill>
      </fill>
    </dxf>
    <dxf>
      <font>
        <b/>
        <i val="0"/>
        <color theme="0"/>
      </font>
      <fill>
        <patternFill patternType="solid">
          <fgColor indexed="56"/>
          <bgColor indexed="62"/>
        </patternFill>
      </fill>
    </dxf>
    <dxf>
      <font>
        <b/>
        <i val="0"/>
        <color indexed="8"/>
      </font>
      <fill>
        <patternFill patternType="solid">
          <fgColor indexed="21"/>
          <bgColor indexed="17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mruColors>
      <color rgb="FF00B050"/>
      <color rgb="FF0070C0"/>
      <color rgb="FFFFFF00"/>
      <color rgb="FFFF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Trebuchet MS"/>
                <a:cs typeface="Arial" panose="020B0604020202020204" pitchFamily="34" charset="0"/>
              </a:defRPr>
            </a:pPr>
            <a:r>
              <a:rPr lang="pt-BR">
                <a:latin typeface="Arial" panose="020B0604020202020204" pitchFamily="34" charset="0"/>
                <a:cs typeface="Arial" panose="020B0604020202020204" pitchFamily="34" charset="0"/>
              </a:rPr>
              <a:t>Qtd. Casos de Teste X Qtd. Incidentes</a:t>
            </a:r>
          </a:p>
        </c:rich>
      </c:tx>
      <c:layout>
        <c:manualLayout>
          <c:xMode val="edge"/>
          <c:yMode val="edge"/>
          <c:x val="0.15173228346456694"/>
          <c:y val="3.0836710264773387E-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4687604308327309E-2"/>
          <c:y val="0.21169640857164193"/>
          <c:w val="0.88281418383442656"/>
          <c:h val="0.63983050847457623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2C5D98"/>
                  </a:gs>
                  <a:gs pos="80000">
                    <a:srgbClr val="3C7BC7"/>
                  </a:gs>
                  <a:gs pos="100000">
                    <a:srgbClr val="3A7CCB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8A-49BC-8E0F-27AC36A907B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9B2D2A"/>
                  </a:gs>
                  <a:gs pos="80000">
                    <a:srgbClr val="CB3D3A"/>
                  </a:gs>
                  <a:gs pos="100000">
                    <a:srgbClr val="CE3B37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8A-49BC-8E0F-27AC36A907B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Planilha1!$A$7:$B$7</c:f>
              <c:strCache>
                <c:ptCount val="2"/>
                <c:pt idx="0">
                  <c:v>Qtd Casos de Teste</c:v>
                </c:pt>
                <c:pt idx="1">
                  <c:v>Qtd Incid.</c:v>
                </c:pt>
              </c:strCache>
            </c:strRef>
          </c:cat>
          <c:val>
            <c:numRef>
              <c:f>Planilha1!$A$8:$B$8</c:f>
              <c:numCache>
                <c:formatCode>0</c:formatCode>
                <c:ptCount val="2"/>
                <c:pt idx="0" formatCode="General">
                  <c:v>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8A-49BC-8E0F-27AC36A9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174536320"/>
        <c:axId val="1"/>
      </c:barChart>
      <c:catAx>
        <c:axId val="11745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745363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Trebuchet MS"/>
                <a:cs typeface="Arial" panose="020B0604020202020204" pitchFamily="34" charset="0"/>
              </a:defRPr>
            </a:pPr>
            <a:r>
              <a:rPr lang="pt-BR">
                <a:latin typeface="Arial" panose="020B0604020202020204" pitchFamily="34" charset="0"/>
                <a:cs typeface="Arial" panose="020B0604020202020204" pitchFamily="34" charset="0"/>
              </a:rPr>
              <a:t>Incidentes por Gravidade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4852592541199601E-2"/>
          <c:y val="0.19248914543512249"/>
          <c:w val="0.92493418667029714"/>
          <c:h val="0.6478902943913879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>
              <a:gsLst>
                <a:gs pos="0">
                  <a:srgbClr val="2C5D98"/>
                </a:gs>
                <a:gs pos="80000">
                  <a:srgbClr val="3C7BC7"/>
                </a:gs>
                <a:gs pos="100000">
                  <a:srgbClr val="3A7CCB"/>
                </a:gs>
              </a:gsLst>
              <a:lin ang="0" scaled="1"/>
            </a:gradFill>
            <a:ln>
              <a:noFill/>
            </a:ln>
            <a:effectLst>
              <a:outerShdw dist="35560" dir="2700000" algn="ctr" rotWithShape="0">
                <a:srgbClr val="000000"/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rgbClr val="9B2D2A"/>
                  </a:gs>
                  <a:gs pos="80000">
                    <a:srgbClr val="CB3D3A"/>
                  </a:gs>
                  <a:gs pos="100000">
                    <a:srgbClr val="CE3B37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16-4D6A-8A0C-62B6C153A463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769535"/>
                  </a:gs>
                  <a:gs pos="80000">
                    <a:srgbClr val="9BC348"/>
                  </a:gs>
                  <a:gs pos="100000">
                    <a:srgbClr val="9CC746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16-4D6A-8A0C-62B6C153A463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5D417E"/>
                  </a:gs>
                  <a:gs pos="80000">
                    <a:srgbClr val="7B58A6"/>
                  </a:gs>
                  <a:gs pos="100000">
                    <a:srgbClr val="7B57A8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16-4D6A-8A0C-62B6C153A46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Planilha1!$A$12:$A$15</c:f>
              <c:strCache>
                <c:ptCount val="4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  <c:pt idx="3">
                  <c:v>Impeditivo</c:v>
                </c:pt>
              </c:strCache>
            </c:strRef>
          </c:cat>
          <c:val>
            <c:numRef>
              <c:f>Planilha1!$B$12:$B$15</c:f>
              <c:numCache>
                <c:formatCode>0</c:formatCode>
                <c:ptCount val="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16-4D6A-8A0C-62B6C153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9632432"/>
        <c:axId val="1"/>
      </c:barChart>
      <c:catAx>
        <c:axId val="16496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96324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Trebuchet MS"/>
                <a:cs typeface="Arial" panose="020B0604020202020204" pitchFamily="34" charset="0"/>
              </a:defRPr>
            </a:pPr>
            <a:r>
              <a:rPr lang="pt-BR">
                <a:latin typeface="Arial" panose="020B0604020202020204" pitchFamily="34" charset="0"/>
                <a:cs typeface="Arial" panose="020B0604020202020204" pitchFamily="34" charset="0"/>
              </a:rPr>
              <a:t>Incidentes por Categoria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gradFill>
              <a:gsLst>
                <a:gs pos="0">
                  <a:srgbClr val="2C5D98"/>
                </a:gs>
                <a:gs pos="80000">
                  <a:srgbClr val="3C7BC7"/>
                </a:gs>
                <a:gs pos="100000">
                  <a:srgbClr val="3A7CCB"/>
                </a:gs>
              </a:gsLst>
              <a:lin ang="0" scaled="1"/>
            </a:gradFill>
            <a:ln>
              <a:noFill/>
            </a:ln>
            <a:effectLst>
              <a:outerShdw dist="35560" dir="2700000" algn="ctr" rotWithShape="0">
                <a:srgbClr val="000000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265186"/>
                  </a:gs>
                  <a:gs pos="80000">
                    <a:srgbClr val="346CB0"/>
                  </a:gs>
                  <a:gs pos="100000">
                    <a:srgbClr val="326DB3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E0-4826-B473-1E0B7D666321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882624"/>
                  </a:gs>
                  <a:gs pos="80000">
                    <a:srgbClr val="B33532"/>
                  </a:gs>
                  <a:gs pos="100000">
                    <a:srgbClr val="B73330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E0-4826-B473-1E0B7D66632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67832D"/>
                  </a:gs>
                  <a:gs pos="80000">
                    <a:srgbClr val="89AD3E"/>
                  </a:gs>
                  <a:gs pos="100000">
                    <a:srgbClr val="8AB03D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E0-4826-B473-1E0B7D666321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51396F"/>
                  </a:gs>
                  <a:gs pos="80000">
                    <a:srgbClr val="6C4D92"/>
                  </a:gs>
                  <a:gs pos="100000">
                    <a:srgbClr val="6D4C94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E0-4826-B473-1E0B7D666321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22768D"/>
                  </a:gs>
                  <a:gs pos="80000">
                    <a:srgbClr val="2F9CB9"/>
                  </a:gs>
                  <a:gs pos="100000">
                    <a:srgbClr val="2D9EBD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6E0-4826-B473-1E0B7D666321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B45F19"/>
                  </a:gs>
                  <a:gs pos="80000">
                    <a:srgbClr val="EB7E24"/>
                  </a:gs>
                  <a:gs pos="100000">
                    <a:srgbClr val="F07E20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6E0-4826-B473-1E0B7D666321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657B9F"/>
                  </a:gs>
                  <a:gs pos="80000">
                    <a:srgbClr val="85A2D1"/>
                  </a:gs>
                  <a:gs pos="100000">
                    <a:srgbClr val="84A2D3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6E0-4826-B473-1E0B7D666321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A16564"/>
                  </a:gs>
                  <a:gs pos="80000">
                    <a:srgbClr val="D38584"/>
                  </a:gs>
                  <a:gs pos="100000">
                    <a:srgbClr val="D68583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6E0-4826-B473-1E0B7D666321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899E68"/>
                  </a:gs>
                  <a:gs pos="80000">
                    <a:srgbClr val="B5CF8A"/>
                  </a:gs>
                  <a:gs pos="100000">
                    <a:srgbClr val="B6D189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6E0-4826-B473-1E0B7D666321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7B6E8F"/>
                  </a:gs>
                  <a:gs pos="80000">
                    <a:srgbClr val="A391BC"/>
                  </a:gs>
                  <a:gs pos="100000">
                    <a:srgbClr val="A391BD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6E0-4826-B473-1E0B7D666321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6394A5"/>
                  </a:gs>
                  <a:gs pos="80000">
                    <a:srgbClr val="83C2D8"/>
                  </a:gs>
                  <a:gs pos="100000">
                    <a:srgbClr val="82C4DB"/>
                  </a:gs>
                </a:gsLst>
                <a:lin ang="0" scaled="1"/>
              </a:gradFill>
              <a:ln>
                <a:noFill/>
              </a:ln>
              <a:effectLst>
                <a:outerShdw dist="35560" dir="27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6E0-4826-B473-1E0B7D66632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Planilha1!$A$19:$A$29</c:f>
              <c:strCache>
                <c:ptCount val="11"/>
                <c:pt idx="0">
                  <c:v>Ambiente</c:v>
                </c:pt>
                <c:pt idx="1">
                  <c:v>Artefatos de Teste</c:v>
                </c:pt>
                <c:pt idx="2">
                  <c:v>Banco</c:v>
                </c:pt>
                <c:pt idx="3">
                  <c:v>Corretude</c:v>
                </c:pt>
                <c:pt idx="4">
                  <c:v>Código</c:v>
                </c:pt>
                <c:pt idx="5">
                  <c:v>Desempenho</c:v>
                </c:pt>
                <c:pt idx="6">
                  <c:v>Integração</c:v>
                </c:pt>
                <c:pt idx="7">
                  <c:v>Requisitos </c:v>
                </c:pt>
                <c:pt idx="8">
                  <c:v>Erro</c:v>
                </c:pt>
                <c:pt idx="9">
                  <c:v>Melhoria</c:v>
                </c:pt>
                <c:pt idx="10">
                  <c:v>Testabilidade</c:v>
                </c:pt>
              </c:strCache>
            </c:strRef>
          </c:cat>
          <c:val>
            <c:numRef>
              <c:f>Planilha1!$B$19:$B$29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6E0-4826-B473-1E0B7D66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174536800"/>
        <c:axId val="1"/>
      </c:barChart>
      <c:catAx>
        <c:axId val="117453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5368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805555555555555"/>
          <c:y val="0.22453703703703703"/>
          <c:w val="0.46388888888888891"/>
          <c:h val="0.77314814814814814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DF0D-4783-8953-346E8539227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F0D-4783-8953-346E8539227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DF0D-4783-8953-346E8539227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DF0D-4783-8953-346E85392279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DF0D-4783-8953-346E85392279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DF0D-4783-8953-346E85392279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F-DF0D-4783-8953-346E85392279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1-DF0D-4783-8953-346E85392279}"/>
              </c:ext>
            </c:extLst>
          </c:dPt>
          <c:dPt>
            <c:idx val="9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13-DF0D-4783-8953-346E85392279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5-DF0D-4783-8953-346E85392279}"/>
              </c:ext>
            </c:extLst>
          </c:dPt>
          <c:dPt>
            <c:idx val="11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8-DF0D-4783-8953-346E85392279}"/>
              </c:ext>
            </c:extLst>
          </c:dPt>
          <c:dLbls>
            <c:dLbl>
              <c:idx val="0"/>
              <c:layout>
                <c:manualLayout>
                  <c:x val="-8.9414856331183526E-2"/>
                  <c:y val="-7.5864081433819888E-3"/>
                </c:manualLayout>
              </c:layout>
              <c:tx>
                <c:rich>
                  <a:bodyPr/>
                  <a:lstStyle/>
                  <a:p>
                    <a:fld id="{F998EBCD-F686-457A-9002-BA39F0FFACD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F0D-4783-8953-346E85392279}"/>
                </c:ext>
              </c:extLst>
            </c:dLbl>
            <c:dLbl>
              <c:idx val="1"/>
              <c:layout>
                <c:manualLayout>
                  <c:x val="-8.941485633118347E-2"/>
                  <c:y val="-5.6898061075364464E-2"/>
                </c:manualLayout>
              </c:layout>
              <c:tx>
                <c:rich>
                  <a:bodyPr/>
                  <a:lstStyle/>
                  <a:p>
                    <a:fld id="{5CF7DA97-DC18-483B-8155-A2B21A5C28E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F0D-4783-8953-346E85392279}"/>
                </c:ext>
              </c:extLst>
            </c:dLbl>
            <c:dLbl>
              <c:idx val="2"/>
              <c:layout>
                <c:manualLayout>
                  <c:x val="-7.8237999289785545E-2"/>
                  <c:y val="-7.9657285505510225E-2"/>
                </c:manualLayout>
              </c:layout>
              <c:tx>
                <c:rich>
                  <a:bodyPr/>
                  <a:lstStyle/>
                  <a:p>
                    <a:fld id="{B179C111-7259-4BDE-8BE5-A388F58CF5A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F0D-4783-8953-346E85392279}"/>
                </c:ext>
              </c:extLst>
            </c:dLbl>
            <c:dLbl>
              <c:idx val="3"/>
              <c:layout>
                <c:manualLayout>
                  <c:x val="-6.4266927988038125E-2"/>
                  <c:y val="-9.1036897720583099E-2"/>
                </c:manualLayout>
              </c:layout>
              <c:tx>
                <c:rich>
                  <a:bodyPr/>
                  <a:lstStyle/>
                  <a:p>
                    <a:fld id="{47D7F48C-7383-4472-B456-FC3F92256B5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F0D-4783-8953-346E85392279}"/>
                </c:ext>
              </c:extLst>
            </c:dLbl>
            <c:dLbl>
              <c:idx val="4"/>
              <c:layout>
                <c:manualLayout>
                  <c:x val="-4.1913213905242303E-2"/>
                  <c:y val="-0.10620971400734687"/>
                </c:manualLayout>
              </c:layout>
              <c:tx>
                <c:rich>
                  <a:bodyPr/>
                  <a:lstStyle/>
                  <a:p>
                    <a:fld id="{FBFAA5B2-1DE1-4EE3-B133-C878F07ABE0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F0D-4783-8953-346E85392279}"/>
                </c:ext>
              </c:extLst>
            </c:dLbl>
            <c:dLbl>
              <c:idx val="5"/>
              <c:layout>
                <c:manualLayout>
                  <c:x val="-8.3826427810484508E-3"/>
                  <c:y val="-0.1062097140073469"/>
                </c:manualLayout>
              </c:layout>
              <c:tx>
                <c:rich>
                  <a:bodyPr/>
                  <a:lstStyle/>
                  <a:p>
                    <a:fld id="{55396BBE-EE12-41F5-8936-33646C20245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F0D-4783-8953-346E85392279}"/>
                </c:ext>
              </c:extLst>
            </c:dLbl>
            <c:dLbl>
              <c:idx val="6"/>
              <c:layout>
                <c:manualLayout>
                  <c:x val="1.9559499822446386E-2"/>
                  <c:y val="-0.11000291807903782"/>
                </c:manualLayout>
              </c:layout>
              <c:tx>
                <c:rich>
                  <a:bodyPr/>
                  <a:lstStyle/>
                  <a:p>
                    <a:fld id="{757450A2-29E4-4A6B-9758-0B22E198EEB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F0D-4783-8953-346E85392279}"/>
                </c:ext>
              </c:extLst>
            </c:dLbl>
            <c:dLbl>
              <c:idx val="7"/>
              <c:layout>
                <c:manualLayout>
                  <c:x val="5.8678499467339156E-2"/>
                  <c:y val="-9.1036897720583029E-2"/>
                </c:manualLayout>
              </c:layout>
              <c:tx>
                <c:rich>
                  <a:bodyPr/>
                  <a:lstStyle/>
                  <a:p>
                    <a:fld id="{E7FA0FE8-CE6B-43E1-9242-13B6D83CBC8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F0D-4783-8953-346E85392279}"/>
                </c:ext>
              </c:extLst>
            </c:dLbl>
            <c:dLbl>
              <c:idx val="8"/>
              <c:layout>
                <c:manualLayout>
                  <c:x val="8.3826427810484508E-2"/>
                  <c:y val="-6.4484469218746315E-2"/>
                </c:manualLayout>
              </c:layout>
              <c:tx>
                <c:rich>
                  <a:bodyPr/>
                  <a:lstStyle/>
                  <a:p>
                    <a:fld id="{EB740E9A-039A-4A2F-B10A-0F72AE0F632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F0D-4783-8953-346E85392279}"/>
                </c:ext>
              </c:extLst>
            </c:dLbl>
            <c:dLbl>
              <c:idx val="9"/>
              <c:layout>
                <c:manualLayout>
                  <c:x val="0.10618014189328037"/>
                  <c:y val="-2.6552428501836787E-2"/>
                </c:manualLayout>
              </c:layout>
              <c:tx>
                <c:rich>
                  <a:bodyPr/>
                  <a:lstStyle/>
                  <a:p>
                    <a:fld id="{07149C63-84F2-40C5-ADFF-FE3E4C0C6CA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F0D-4783-8953-346E85392279}"/>
                </c:ext>
              </c:extLst>
            </c:dLbl>
            <c:dLbl>
              <c:idx val="10"/>
              <c:layout>
                <c:manualLayout>
                  <c:x val="0.11176857041397935"/>
                  <c:y val="3.0345632573527608E-2"/>
                </c:manualLayout>
              </c:layout>
              <c:tx>
                <c:rich>
                  <a:bodyPr/>
                  <a:lstStyle/>
                  <a:p>
                    <a:fld id="{A35A23F9-52EA-4B81-82AB-38C10ECAD90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F0D-4783-8953-346E8539227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F0D-4783-8953-346E853922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Planilha1!$R$19:$R$30</c:f>
              <c:numCache>
                <c:formatCode>0%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0.99999999999999989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Planilha1!$Q$19:$Q$30</c15:f>
                <c15:dlblRangeCache>
                  <c:ptCount val="12"/>
                  <c:pt idx="0">
                    <c:v>0%</c:v>
                  </c:pt>
                  <c:pt idx="1">
                    <c:v>10%</c:v>
                  </c:pt>
                  <c:pt idx="2">
                    <c:v>20%</c:v>
                  </c:pt>
                  <c:pt idx="3">
                    <c:v>30%</c:v>
                  </c:pt>
                  <c:pt idx="4">
                    <c:v>40%</c:v>
                  </c:pt>
                  <c:pt idx="5">
                    <c:v>50%</c:v>
                  </c:pt>
                  <c:pt idx="6">
                    <c:v>60%</c:v>
                  </c:pt>
                  <c:pt idx="7">
                    <c:v>70%</c:v>
                  </c:pt>
                  <c:pt idx="8">
                    <c:v>80%</c:v>
                  </c:pt>
                  <c:pt idx="9">
                    <c:v>90%</c:v>
                  </c:pt>
                  <c:pt idx="10">
                    <c:v>100%</c:v>
                  </c:pt>
                  <c:pt idx="11">
                    <c:v>lado oculto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F0D-4783-8953-346E853922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70"/>
        <c:holeSize val="50"/>
      </c:doughnutChart>
      <c:scatterChart>
        <c:scatterStyle val="smoothMarker"/>
        <c:varyColors val="0"/>
        <c:ser>
          <c:idx val="1"/>
          <c:order val="1"/>
          <c:tx>
            <c:v>Ponteiro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Planilha1!$R$32:$R$33</c:f>
              <c:numCache>
                <c:formatCode>General</c:formatCode>
                <c:ptCount val="2"/>
                <c:pt idx="0">
                  <c:v>0</c:v>
                </c:pt>
                <c:pt idx="1">
                  <c:v>0.50000000000000022</c:v>
                </c:pt>
              </c:numCache>
            </c:numRef>
          </c:xVal>
          <c:yVal>
            <c:numRef>
              <c:f>Planilha1!$S$32:$S$33</c:f>
              <c:numCache>
                <c:formatCode>General</c:formatCode>
                <c:ptCount val="2"/>
                <c:pt idx="0">
                  <c:v>0</c:v>
                </c:pt>
                <c:pt idx="1">
                  <c:v>0.86602540378443849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DF0D-4783-8953-346E85392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159736"/>
        <c:axId val="1004159376"/>
      </c:scatterChart>
      <c:valAx>
        <c:axId val="1004159376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1004159736"/>
        <c:crosses val="autoZero"/>
        <c:crossBetween val="midCat"/>
      </c:valAx>
      <c:valAx>
        <c:axId val="1004159736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10041593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5</xdr:row>
      <xdr:rowOff>0</xdr:rowOff>
    </xdr:from>
    <xdr:to>
      <xdr:col>4</xdr:col>
      <xdr:colOff>1007993</xdr:colOff>
      <xdr:row>17</xdr:row>
      <xdr:rowOff>35532</xdr:rowOff>
    </xdr:to>
    <xdr:graphicFrame macro="">
      <xdr:nvGraphicFramePr>
        <xdr:cNvPr id="2" name="Gráfico 17">
          <a:extLst>
            <a:ext uri="{FF2B5EF4-FFF2-40B4-BE49-F238E27FC236}">
              <a16:creationId xmlns:a16="http://schemas.microsoft.com/office/drawing/2014/main" id="{EDF40869-F563-4492-B67D-74266E0FD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5</xdr:col>
      <xdr:colOff>38100</xdr:colOff>
      <xdr:row>5</xdr:row>
      <xdr:rowOff>91440</xdr:rowOff>
    </xdr:from>
    <xdr:to>
      <xdr:col>9</xdr:col>
      <xdr:colOff>121589</xdr:colOff>
      <xdr:row>16</xdr:row>
      <xdr:rowOff>69243</xdr:rowOff>
    </xdr:to>
    <xdr:graphicFrame macro="">
      <xdr:nvGraphicFramePr>
        <xdr:cNvPr id="3" name="Gráfico 15">
          <a:extLst>
            <a:ext uri="{FF2B5EF4-FFF2-40B4-BE49-F238E27FC236}">
              <a16:creationId xmlns:a16="http://schemas.microsoft.com/office/drawing/2014/main" id="{4AC49442-85DF-4450-8581-BB74E8FE6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</xdr:col>
      <xdr:colOff>472440</xdr:colOff>
      <xdr:row>17</xdr:row>
      <xdr:rowOff>121920</xdr:rowOff>
    </xdr:from>
    <xdr:to>
      <xdr:col>5</xdr:col>
      <xdr:colOff>444113</xdr:colOff>
      <xdr:row>34</xdr:row>
      <xdr:rowOff>107011</xdr:rowOff>
    </xdr:to>
    <xdr:graphicFrame macro="">
      <xdr:nvGraphicFramePr>
        <xdr:cNvPr id="4" name="Gráfico 18">
          <a:extLst>
            <a:ext uri="{FF2B5EF4-FFF2-40B4-BE49-F238E27FC236}">
              <a16:creationId xmlns:a16="http://schemas.microsoft.com/office/drawing/2014/main" id="{6C0550FA-6F67-4984-8A69-9D4C3235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5</xdr:col>
      <xdr:colOff>861060</xdr:colOff>
      <xdr:row>17</xdr:row>
      <xdr:rowOff>137160</xdr:rowOff>
    </xdr:from>
    <xdr:to>
      <xdr:col>12</xdr:col>
      <xdr:colOff>3586</xdr:colOff>
      <xdr:row>36</xdr:row>
      <xdr:rowOff>10533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CC5E85EE-CF90-4E73-86A4-D9A1011A6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12</xdr:col>
      <xdr:colOff>502920</xdr:colOff>
      <xdr:row>27</xdr:row>
      <xdr:rowOff>30480</xdr:rowOff>
    </xdr:from>
    <xdr:to>
      <xdr:col>14</xdr:col>
      <xdr:colOff>136920</xdr:colOff>
      <xdr:row>31</xdr:row>
      <xdr:rowOff>22560</xdr:rowOff>
    </xdr:to>
    <xdr:pic>
      <xdr:nvPicPr>
        <xdr:cNvPr id="7" name="Imagem 2" descr="BADGE4-03-AMARELO">
          <a:extLst>
            <a:ext uri="{FF2B5EF4-FFF2-40B4-BE49-F238E27FC236}">
              <a16:creationId xmlns:a16="http://schemas.microsoft.com/office/drawing/2014/main" id="{582F694D-36FD-4405-9095-F4EA3C86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3860" y="6065520"/>
          <a:ext cx="853200" cy="72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502919</xdr:colOff>
      <xdr:row>22</xdr:row>
      <xdr:rowOff>83820</xdr:rowOff>
    </xdr:from>
    <xdr:to>
      <xdr:col>14</xdr:col>
      <xdr:colOff>136919</xdr:colOff>
      <xdr:row>26</xdr:row>
      <xdr:rowOff>75900</xdr:rowOff>
    </xdr:to>
    <xdr:pic>
      <xdr:nvPicPr>
        <xdr:cNvPr id="8" name="Imagem 3" descr="BADGE4-02-AZUL">
          <a:extLst>
            <a:ext uri="{FF2B5EF4-FFF2-40B4-BE49-F238E27FC236}">
              <a16:creationId xmlns:a16="http://schemas.microsoft.com/office/drawing/2014/main" id="{44E06342-9DDB-40F1-989B-0B63683A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3859" y="5204460"/>
          <a:ext cx="853200" cy="72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495300</xdr:colOff>
      <xdr:row>17</xdr:row>
      <xdr:rowOff>167639</xdr:rowOff>
    </xdr:from>
    <xdr:to>
      <xdr:col>14</xdr:col>
      <xdr:colOff>129300</xdr:colOff>
      <xdr:row>21</xdr:row>
      <xdr:rowOff>159719</xdr:rowOff>
    </xdr:to>
    <xdr:pic>
      <xdr:nvPicPr>
        <xdr:cNvPr id="9" name="Imagem 5" descr="BADGE4-01-VERDE">
          <a:extLst>
            <a:ext uri="{FF2B5EF4-FFF2-40B4-BE49-F238E27FC236}">
              <a16:creationId xmlns:a16="http://schemas.microsoft.com/office/drawing/2014/main" id="{28FB26B8-B1B8-499B-B6FA-D49B9DC4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240" y="4373879"/>
          <a:ext cx="853200" cy="72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502920</xdr:colOff>
      <xdr:row>32</xdr:row>
      <xdr:rowOff>0</xdr:rowOff>
    </xdr:from>
    <xdr:to>
      <xdr:col>14</xdr:col>
      <xdr:colOff>136039</xdr:colOff>
      <xdr:row>35</xdr:row>
      <xdr:rowOff>175260</xdr:rowOff>
    </xdr:to>
    <xdr:pic>
      <xdr:nvPicPr>
        <xdr:cNvPr id="10" name="Imagem 4" descr="BADGE4-04-VERMELHO">
          <a:extLst>
            <a:ext uri="{FF2B5EF4-FFF2-40B4-BE49-F238E27FC236}">
              <a16:creationId xmlns:a16="http://schemas.microsoft.com/office/drawing/2014/main" id="{DAB37272-A123-4DB6-9885-81350A5E2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3860" y="6949440"/>
          <a:ext cx="852319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0.43012</cdr:x>
      <cdr:y>0.659</cdr:y>
    </cdr:from>
    <cdr:to>
      <cdr:x>0.59942</cdr:x>
      <cdr:y>0.80032</cdr:y>
    </cdr:to>
    <cdr:sp macro="" textlink="Planilha1!$B$3">
      <cdr:nvSpPr>
        <cdr:cNvPr id="2" name="Retângulo 2"/>
        <cdr:cNvSpPr/>
      </cdr:nvSpPr>
      <cdr:spPr>
        <a:xfrm xmlns:a="http://schemas.openxmlformats.org/drawingml/2006/main">
          <a:off x="1954943" y="2206393"/>
          <a:ext cx="769486" cy="473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4EAB3B8-6D8F-4C3D-A7A1-67ED439277E0}" type="TxLink">
            <a:rPr lang="en-US" alt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7" charset="0"/>
              <a:cs typeface="Arial" panose="020B0604020202020204" pitchFamily="34" charset="0"/>
              <a:sym typeface="Arial" panose="020B0604020202020204" pitchFamily="7" charset="0"/>
            </a:rPr>
            <a:pPr algn="ctr" rtl="0">
              <a:defRPr sz="1000"/>
            </a:pPr>
            <a:t>67%</a:t>
          </a:fld>
          <a:endParaRPr lang="zh-CN" altLang="en-US" sz="16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34" charset="0"/>
            <a:ea typeface="Arial" panose="020B0604020202020204" pitchFamily="7" charset="0"/>
            <a:cs typeface="Arial" panose="020B0604020202020204" pitchFamily="34" charset="0"/>
            <a:sym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0.68006</cdr:x>
      <cdr:y>0.88632</cdr:y>
    </cdr:from>
    <cdr:to>
      <cdr:x>0.89678</cdr:x>
      <cdr:y>0.88948</cdr:y>
    </cdr:to>
    <cdr:grpSp>
      <cdr:nvGrpSpPr>
        <cdr:cNvPr id="18" name="Agrupar 47">
          <a:extLst xmlns:a="http://schemas.openxmlformats.org/drawingml/2006/main">
            <a:ext uri="{FF2B5EF4-FFF2-40B4-BE49-F238E27FC236}">
              <a16:creationId xmlns:a16="http://schemas.microsoft.com/office/drawing/2014/main" id="{6362C9F5-F1E8-ACCD-ABE1-3EAB769303F7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3044306" y="3197110"/>
          <a:ext cx="970153" cy="11398"/>
          <a:chOff x="2516048" y="6002"/>
          <a:chExt cx="1249414" cy="224712"/>
        </a:xfrm>
      </cdr:grpSpPr>
      <cdr:sp macro="" textlink="">
        <cdr:nvSpPr>
          <cdr:cNvPr id="3" name="CaixaDeTexto 1"/>
          <cdr:cNvSpPr/>
        </cdr:nvSpPr>
        <cdr:spPr>
          <a:xfrm xmlns:a="http://schemas.openxmlformats.org/drawingml/2006/main">
            <a:off x="2635055" y="-1091524"/>
            <a:ext cx="1013488" cy="2247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RUIM</a:t>
            </a:r>
          </a:p>
        </cdr:txBody>
      </cdr:sp>
      <cdr:sp macro="" textlink="">
        <cdr:nvSpPr>
          <cdr:cNvPr id="8226955" name="CaixaDeTexto 2"/>
          <cdr:cNvSpPr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2465248" y="44224"/>
            <a:ext cx="287923" cy="92985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>
            <a:noFill/>
          </a:ln>
        </cdr:spPr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pt-BR"/>
          </a:p>
        </cdr:txBody>
      </cdr:sp>
    </cdr:grpSp>
  </cdr:relSizeAnchor>
  <cdr:relSizeAnchor xmlns:cdr="http://schemas.openxmlformats.org/drawingml/2006/chartDrawing">
    <cdr:from>
      <cdr:x>0.51639</cdr:x>
      <cdr:y>0.88584</cdr:y>
    </cdr:from>
    <cdr:to>
      <cdr:x>0.72801</cdr:x>
      <cdr:y>0.88899</cdr:y>
    </cdr:to>
    <cdr:grpSp>
      <cdr:nvGrpSpPr>
        <cdr:cNvPr id="19" name="Agrupar 48">
          <a:extLst xmlns:a="http://schemas.openxmlformats.org/drawingml/2006/main">
            <a:ext uri="{FF2B5EF4-FFF2-40B4-BE49-F238E27FC236}">
              <a16:creationId xmlns:a16="http://schemas.microsoft.com/office/drawing/2014/main" id="{9D53E785-2CB7-E362-34BA-D0BEDB1866B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2311633" y="3195378"/>
          <a:ext cx="947323" cy="11363"/>
          <a:chOff x="719341" y="0"/>
          <a:chExt cx="1287962" cy="224736"/>
        </a:xfrm>
      </cdr:grpSpPr>
      <cdr:sp macro="" textlink="">
        <cdr:nvSpPr>
          <cdr:cNvPr id="4" name="CaixaDeTexto 2"/>
          <cdr:cNvSpPr/>
        </cdr:nvSpPr>
        <cdr:spPr>
          <a:xfrm xmlns:a="http://schemas.openxmlformats.org/drawingml/2006/main">
            <a:off x="873399" y="-1189104"/>
            <a:ext cx="1013452" cy="22473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BOM</a:t>
            </a:r>
          </a:p>
        </cdr:txBody>
      </cdr:sp>
      <cdr:sp macro="" textlink="">
        <cdr:nvSpPr>
          <cdr:cNvPr id="8226958" name="CaixaDeTexto 3"/>
          <cdr:cNvSpPr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668541" y="44527"/>
            <a:ext cx="287912" cy="9299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00"/>
          </a:solidFill>
          <a:ln xmlns:a="http://schemas.openxmlformats.org/drawingml/2006/main">
            <a:noFill/>
          </a:ln>
        </cdr:spPr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pt-BR"/>
          </a:p>
        </cdr:txBody>
      </cdr:sp>
    </cdr:grpSp>
  </cdr:relSizeAnchor>
  <cdr:relSizeAnchor xmlns:cdr="http://schemas.openxmlformats.org/drawingml/2006/chartDrawing">
    <cdr:from>
      <cdr:x>0.0812</cdr:x>
      <cdr:y>0.88584</cdr:y>
    </cdr:from>
    <cdr:to>
      <cdr:x>0.3109</cdr:x>
      <cdr:y>0.88899</cdr:y>
    </cdr:to>
    <cdr:grpSp>
      <cdr:nvGrpSpPr>
        <cdr:cNvPr id="20" name="Agrupar 49">
          <a:extLst xmlns:a="http://schemas.openxmlformats.org/drawingml/2006/main">
            <a:ext uri="{FF2B5EF4-FFF2-40B4-BE49-F238E27FC236}">
              <a16:creationId xmlns:a16="http://schemas.microsoft.com/office/drawing/2014/main" id="{2E4F58E5-CC55-3510-9090-24388A9EF6AB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363494" y="3195378"/>
          <a:ext cx="1028258" cy="11363"/>
          <a:chOff x="0" y="23029"/>
          <a:chExt cx="1260069" cy="224713"/>
        </a:xfrm>
      </cdr:grpSpPr>
      <cdr:sp macro="" textlink="">
        <cdr:nvSpPr>
          <cdr:cNvPr id="5" name="CaixaDeTexto 2"/>
          <cdr:cNvSpPr/>
        </cdr:nvSpPr>
        <cdr:spPr>
          <a:xfrm xmlns:a="http://schemas.openxmlformats.org/drawingml/2006/main">
            <a:off x="132598" y="-1165953"/>
            <a:ext cx="1013417" cy="2247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Calibri" panose="020F0502020204030204"/>
              </a:rPr>
              <a:t> </a:t>
            </a:r>
            <a:r>
              <a:rPr lang="pt-BR"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ÓTIMO</a:t>
            </a:r>
          </a:p>
        </cdr:txBody>
      </cdr:sp>
      <cdr:sp macro="" textlink="">
        <cdr:nvSpPr>
          <cdr:cNvPr id="8226961" name="CaixaDeTexto 3"/>
          <cdr:cNvSpPr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0" y="10449"/>
            <a:ext cx="287902" cy="9298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00B050"/>
          </a:solidFill>
          <a:ln xmlns:a="http://schemas.openxmlformats.org/drawingml/2006/main">
            <a:noFill/>
          </a:ln>
        </cdr:spPr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pt-BR"/>
          </a:p>
        </cdr:txBody>
      </cdr:sp>
    </cdr:grpSp>
  </cdr:relSizeAnchor>
  <cdr:relSizeAnchor xmlns:cdr="http://schemas.openxmlformats.org/drawingml/2006/chartDrawing">
    <cdr:from>
      <cdr:x>0.27104</cdr:x>
      <cdr:y>0.88681</cdr:y>
    </cdr:from>
    <cdr:to>
      <cdr:x>0.5384</cdr:x>
      <cdr:y>0.88899</cdr:y>
    </cdr:to>
    <cdr:grpSp>
      <cdr:nvGrpSpPr>
        <cdr:cNvPr id="21" name="Agrupar 50">
          <a:extLst xmlns:a="http://schemas.openxmlformats.org/drawingml/2006/main">
            <a:ext uri="{FF2B5EF4-FFF2-40B4-BE49-F238E27FC236}">
              <a16:creationId xmlns:a16="http://schemas.microsoft.com/office/drawing/2014/main" id="{D0FC6215-FA9E-6067-BFD0-058B84E1A5D9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1213318" y="3198877"/>
          <a:ext cx="1196844" cy="7864"/>
          <a:chOff x="1487877" y="1854"/>
          <a:chExt cx="1805572" cy="182806"/>
        </a:xfrm>
      </cdr:grpSpPr>
      <cdr:sp macro="" textlink="">
        <cdr:nvSpPr>
          <cdr:cNvPr id="6" name="CaixaDeTexto 1"/>
          <cdr:cNvSpPr/>
        </cdr:nvSpPr>
        <cdr:spPr>
          <a:xfrm xmlns:a="http://schemas.openxmlformats.org/drawingml/2006/main">
            <a:off x="1624333" y="-1287765"/>
            <a:ext cx="1541004" cy="18280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pt-BR" sz="10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MUITO BOM</a:t>
            </a:r>
          </a:p>
        </cdr:txBody>
      </cdr:sp>
      <cdr:sp macro="" textlink="">
        <cdr:nvSpPr>
          <cdr:cNvPr id="8226964" name="CaixaDeTexto 2"/>
          <cdr:cNvSpPr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1437077" y="43878"/>
            <a:ext cx="287778" cy="90356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0070C0"/>
          </a:solidFill>
          <a:ln xmlns:a="http://schemas.openxmlformats.org/drawingml/2006/main">
            <a:noFill/>
          </a:ln>
        </cdr:spPr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pt-BR"/>
          </a:p>
        </cdr:txBody>
      </cdr:sp>
    </cdr:grpSp>
  </cdr:relSizeAnchor>
  <cdr:relSizeAnchor xmlns:cdr="http://schemas.openxmlformats.org/drawingml/2006/chartDrawing">
    <cdr:from>
      <cdr:x>0.03986</cdr:x>
      <cdr:y>0.08169</cdr:y>
    </cdr:from>
    <cdr:to>
      <cdr:x>0.87967</cdr:x>
      <cdr:y>0.18509</cdr:y>
    </cdr:to>
    <cdr:grpSp>
      <cdr:nvGrpSpPr>
        <cdr:cNvPr id="22" name="Agrupar 51">
          <a:extLst xmlns:a="http://schemas.openxmlformats.org/drawingml/2006/main">
            <a:ext uri="{FF2B5EF4-FFF2-40B4-BE49-F238E27FC236}">
              <a16:creationId xmlns:a16="http://schemas.microsoft.com/office/drawing/2014/main" id="{E96C1BC4-87F7-3472-C60C-59ADFB064E90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178434" y="294670"/>
          <a:ext cx="3759432" cy="372982"/>
          <a:chOff x="-75211" y="40665"/>
          <a:chExt cx="1069615" cy="126817"/>
        </a:xfrm>
      </cdr:grpSpPr>
      <cdr:sp macro="" textlink="">
        <cdr:nvSpPr>
          <cdr:cNvPr id="7" name="CaixaDeTexto 1"/>
          <cdr:cNvSpPr/>
        </cdr:nvSpPr>
        <cdr:spPr>
          <a:xfrm xmlns:a="http://schemas.openxmlformats.org/drawingml/2006/main">
            <a:off x="11781" y="19913"/>
            <a:ext cx="1069615" cy="12681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pt-BR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Percentual de Qualidade</a:t>
            </a:r>
          </a:p>
        </cdr:txBody>
      </cdr:sp>
    </cdr:grpSp>
  </cdr:relSizeAnchor>
</c:userShap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8BB8-53D9-4C28-8A2E-8F312549895A}">
  <dimension ref="A1:S33"/>
  <sheetViews>
    <sheetView showGridLines="0" tabSelected="1" zoomScaleNormal="100" workbookViewId="0">
      <selection activeCell="A3" sqref="A3"/>
    </sheetView>
  </sheetViews>
  <sheetFormatPr defaultRowHeight="15" x14ac:dyDescent="0.25"/>
  <cols>
    <col min="1" max="1" width="18.5703125" customWidth="1"/>
    <col min="2" max="2" width="18.28515625" customWidth="1"/>
    <col min="3" max="4" width="15.28515625" customWidth="1"/>
    <col min="5" max="5" width="19.140625" customWidth="1"/>
    <col min="6" max="6" width="18.5703125" customWidth="1"/>
    <col min="7" max="7" width="15.7109375" customWidth="1"/>
  </cols>
  <sheetData>
    <row r="1" spans="1:7" ht="15.75" x14ac:dyDescent="0.3">
      <c r="A1" s="23" t="s">
        <v>30</v>
      </c>
      <c r="B1" s="24"/>
      <c r="C1" s="25" t="s">
        <v>29</v>
      </c>
      <c r="D1" s="25" t="s">
        <v>28</v>
      </c>
      <c r="E1" s="27" t="s">
        <v>27</v>
      </c>
      <c r="F1" s="19" t="s">
        <v>26</v>
      </c>
      <c r="G1" s="19" t="s">
        <v>25</v>
      </c>
    </row>
    <row r="2" spans="1:7" x14ac:dyDescent="0.25">
      <c r="A2" s="2" t="s">
        <v>24</v>
      </c>
      <c r="B2" s="2" t="s">
        <v>23</v>
      </c>
      <c r="C2" s="26"/>
      <c r="D2" s="26"/>
      <c r="E2" s="28"/>
      <c r="F2" s="20"/>
      <c r="G2" s="20"/>
    </row>
    <row r="3" spans="1:7" x14ac:dyDescent="0.25">
      <c r="A3" s="1">
        <f>IF(SUM(E3:G3)&gt;0,SUM(E3:F3)/C3,"-")</f>
        <v>0.66666666666666663</v>
      </c>
      <c r="B3" s="1">
        <f>IF(SUM(E3:G3)&gt;0,(1-(E3/D3+G3/D3)),"-")</f>
        <v>0.66666666666666674</v>
      </c>
      <c r="C3" s="13">
        <v>12</v>
      </c>
      <c r="D3" s="13">
        <v>12</v>
      </c>
      <c r="E3" s="3">
        <v>0</v>
      </c>
      <c r="F3" s="14">
        <v>8</v>
      </c>
      <c r="G3" s="3">
        <v>4</v>
      </c>
    </row>
    <row r="6" spans="1:7" x14ac:dyDescent="0.25">
      <c r="A6" s="21" t="s">
        <v>22</v>
      </c>
      <c r="B6" s="22"/>
    </row>
    <row r="7" spans="1:7" ht="15.75" x14ac:dyDescent="0.3">
      <c r="A7" s="4" t="s">
        <v>21</v>
      </c>
      <c r="B7" s="5" t="s">
        <v>20</v>
      </c>
    </row>
    <row r="8" spans="1:7" ht="15.75" x14ac:dyDescent="0.3">
      <c r="A8" s="6">
        <f>$C$3</f>
        <v>12</v>
      </c>
      <c r="B8" s="15">
        <v>0</v>
      </c>
    </row>
    <row r="9" spans="1:7" ht="15.75" x14ac:dyDescent="0.3">
      <c r="A9" s="7"/>
      <c r="B9" s="8"/>
    </row>
    <row r="10" spans="1:7" x14ac:dyDescent="0.25">
      <c r="A10" s="21" t="s">
        <v>19</v>
      </c>
      <c r="B10" s="22"/>
    </row>
    <row r="11" spans="1:7" ht="15.75" x14ac:dyDescent="0.3">
      <c r="A11" s="4" t="s">
        <v>18</v>
      </c>
      <c r="B11" s="5" t="s">
        <v>0</v>
      </c>
    </row>
    <row r="12" spans="1:7" ht="15.75" x14ac:dyDescent="0.3">
      <c r="A12" s="9" t="s">
        <v>17</v>
      </c>
      <c r="B12" s="16">
        <v>0</v>
      </c>
    </row>
    <row r="13" spans="1:7" ht="15.75" x14ac:dyDescent="0.3">
      <c r="A13" s="9" t="s">
        <v>16</v>
      </c>
      <c r="B13" s="17">
        <v>0</v>
      </c>
    </row>
    <row r="14" spans="1:7" ht="15.75" x14ac:dyDescent="0.3">
      <c r="A14" s="9" t="s">
        <v>15</v>
      </c>
      <c r="B14" s="17">
        <v>0</v>
      </c>
    </row>
    <row r="15" spans="1:7" ht="15.75" x14ac:dyDescent="0.3">
      <c r="A15" s="9" t="s">
        <v>14</v>
      </c>
      <c r="B15" s="17">
        <v>0</v>
      </c>
    </row>
    <row r="16" spans="1:7" ht="15.75" x14ac:dyDescent="0.3">
      <c r="A16" s="7"/>
      <c r="B16" s="8"/>
    </row>
    <row r="17" spans="1:19" x14ac:dyDescent="0.25">
      <c r="A17" s="21" t="s">
        <v>13</v>
      </c>
      <c r="B17" s="22"/>
    </row>
    <row r="18" spans="1:19" ht="15.75" x14ac:dyDescent="0.3">
      <c r="A18" s="4" t="s">
        <v>1</v>
      </c>
      <c r="B18" s="5" t="s">
        <v>0</v>
      </c>
    </row>
    <row r="19" spans="1:19" ht="15.75" x14ac:dyDescent="0.3">
      <c r="A19" s="9" t="s">
        <v>12</v>
      </c>
      <c r="B19" s="18">
        <v>4</v>
      </c>
      <c r="Q19" s="10">
        <v>0</v>
      </c>
      <c r="R19" s="10">
        <v>0</v>
      </c>
      <c r="S19" s="11"/>
    </row>
    <row r="20" spans="1:19" ht="15.75" x14ac:dyDescent="0.3">
      <c r="A20" s="9" t="s">
        <v>11</v>
      </c>
      <c r="B20" s="18">
        <v>0</v>
      </c>
      <c r="Q20" s="10">
        <v>0.1</v>
      </c>
      <c r="R20" s="10">
        <v>0.1</v>
      </c>
      <c r="S20" s="11"/>
    </row>
    <row r="21" spans="1:19" ht="15.75" x14ac:dyDescent="0.3">
      <c r="A21" s="9" t="s">
        <v>10</v>
      </c>
      <c r="B21" s="18">
        <v>0</v>
      </c>
      <c r="Q21" s="10">
        <v>0.2</v>
      </c>
      <c r="R21" s="10">
        <v>0.1</v>
      </c>
      <c r="S21" s="11"/>
    </row>
    <row r="22" spans="1:19" ht="15.75" x14ac:dyDescent="0.3">
      <c r="A22" s="9" t="s">
        <v>9</v>
      </c>
      <c r="B22" s="18">
        <v>0</v>
      </c>
      <c r="Q22" s="10">
        <v>0.3</v>
      </c>
      <c r="R22" s="10">
        <v>0.1</v>
      </c>
      <c r="S22" s="11"/>
    </row>
    <row r="23" spans="1:19" ht="15.75" x14ac:dyDescent="0.3">
      <c r="A23" s="9" t="s">
        <v>8</v>
      </c>
      <c r="B23" s="18">
        <v>0</v>
      </c>
      <c r="Q23" s="10">
        <v>0.4</v>
      </c>
      <c r="R23" s="10">
        <v>0.1</v>
      </c>
      <c r="S23" s="11"/>
    </row>
    <row r="24" spans="1:19" ht="15.75" x14ac:dyDescent="0.3">
      <c r="A24" s="9" t="s">
        <v>7</v>
      </c>
      <c r="B24" s="18">
        <v>0</v>
      </c>
      <c r="Q24" s="10">
        <v>0.5</v>
      </c>
      <c r="R24" s="10">
        <v>0.1</v>
      </c>
      <c r="S24" s="11"/>
    </row>
    <row r="25" spans="1:19" ht="15.75" x14ac:dyDescent="0.3">
      <c r="A25" s="9" t="s">
        <v>6</v>
      </c>
      <c r="B25" s="18">
        <v>0</v>
      </c>
      <c r="Q25" s="10">
        <v>0.6</v>
      </c>
      <c r="R25" s="10">
        <v>0.1</v>
      </c>
      <c r="S25" s="11"/>
    </row>
    <row r="26" spans="1:19" ht="15.75" x14ac:dyDescent="0.3">
      <c r="A26" s="9" t="s">
        <v>5</v>
      </c>
      <c r="B26" s="18">
        <v>0</v>
      </c>
      <c r="Q26" s="10">
        <v>0.7</v>
      </c>
      <c r="R26" s="10">
        <v>0.1</v>
      </c>
      <c r="S26" s="11"/>
    </row>
    <row r="27" spans="1:19" ht="15.75" x14ac:dyDescent="0.3">
      <c r="A27" s="9" t="s">
        <v>4</v>
      </c>
      <c r="B27" s="18">
        <v>0</v>
      </c>
      <c r="Q27" s="10">
        <v>0.8</v>
      </c>
      <c r="R27" s="10">
        <v>0.1</v>
      </c>
      <c r="S27" s="11"/>
    </row>
    <row r="28" spans="1:19" ht="15.75" x14ac:dyDescent="0.3">
      <c r="A28" s="9" t="s">
        <v>3</v>
      </c>
      <c r="B28" s="18">
        <v>0</v>
      </c>
      <c r="Q28" s="10">
        <v>0.9</v>
      </c>
      <c r="R28" s="10">
        <v>0.1</v>
      </c>
      <c r="S28" s="11"/>
    </row>
    <row r="29" spans="1:19" ht="15.75" x14ac:dyDescent="0.3">
      <c r="A29" s="9" t="s">
        <v>2</v>
      </c>
      <c r="B29" s="18">
        <v>0</v>
      </c>
      <c r="Q29" s="10">
        <v>1</v>
      </c>
      <c r="R29" s="10">
        <v>0.1</v>
      </c>
      <c r="S29" s="11"/>
    </row>
    <row r="30" spans="1:19" x14ac:dyDescent="0.25">
      <c r="Q30" s="10" t="s">
        <v>31</v>
      </c>
      <c r="R30" s="10">
        <f>SUM(R19:R29)</f>
        <v>0.99999999999999989</v>
      </c>
      <c r="S30" s="11"/>
    </row>
    <row r="31" spans="1:19" x14ac:dyDescent="0.25">
      <c r="Q31" s="11"/>
      <c r="R31" s="11"/>
      <c r="S31" s="11"/>
    </row>
    <row r="32" spans="1:19" x14ac:dyDescent="0.25">
      <c r="Q32" s="11"/>
      <c r="R32" s="12">
        <v>0</v>
      </c>
      <c r="S32" s="11">
        <v>0</v>
      </c>
    </row>
    <row r="33" spans="17:19" x14ac:dyDescent="0.25">
      <c r="Q33" s="11"/>
      <c r="R33" s="12">
        <f>-COS($B$3*PI())</f>
        <v>0.50000000000000022</v>
      </c>
      <c r="S33" s="11">
        <f>SIN($B$3*PI())</f>
        <v>0.86602540378443849</v>
      </c>
    </row>
  </sheetData>
  <sheetProtection algorithmName="SHA-512" hashValue="UeIE4Vtd5CBCPWnDnHQrZ2PevRMIBf9alO9PGUquFWx82mK78kMW6oKHMO4GlQkLsb37M4Lb9Pp+LFBWq11/Vg==" saltValue="yMeLPPQriRgpfZDeYwkXHg==" spinCount="100000" sheet="1" objects="1" scenarios="1"/>
  <mergeCells count="9">
    <mergeCell ref="F1:F2"/>
    <mergeCell ref="G1:G2"/>
    <mergeCell ref="A6:B6"/>
    <mergeCell ref="A10:B10"/>
    <mergeCell ref="A17:B17"/>
    <mergeCell ref="A1:B1"/>
    <mergeCell ref="C1:C2"/>
    <mergeCell ref="D1:D2"/>
    <mergeCell ref="E1:E2"/>
  </mergeCells>
  <conditionalFormatting sqref="A3">
    <cfRule type="cellIs" dxfId="3" priority="1" stopIfTrue="1" operator="lessThan">
      <formula>0.8</formula>
    </cfRule>
  </conditionalFormatting>
  <conditionalFormatting sqref="B3">
    <cfRule type="cellIs" dxfId="2" priority="2" stopIfTrue="1" operator="greaterThanOrEqual">
      <formula>0.9</formula>
    </cfRule>
    <cfRule type="cellIs" dxfId="1" priority="3" stopIfTrue="1" operator="between">
      <formula>0.8</formula>
      <formula>0.89</formula>
    </cfRule>
    <cfRule type="cellIs" dxfId="0" priority="4" stopIfTrue="1" operator="between">
      <formula>0.61</formula>
      <formula>0.79</formula>
    </cfRule>
  </conditionalFormatting>
  <pageMargins left="0.511811024" right="0.511811024" top="0.78740157499999996" bottom="0.78740157499999996" header="0.31496062000000002" footer="0.31496062000000002"/>
  <headerFooter>
    <oddHeader>&amp;R&amp;"Calibri"&amp;10&amp;K000000 Classificação de confidencialidade: Restrito&amp;1#_x000D_</oddHeader>
  </headerFooter>
  <drawing r:id="rId1"/>
</worksheet>
</file>

<file path=docMetadata/LabelInfo.xml><?xml version="1.0" encoding="utf-8"?>
<clbl:labelList xmlns:clbl="http://schemas.microsoft.com/office/2020/mipLabelMetadata">
  <clbl:label id="{7578849c-cda1-4ab5-be83-e4ed500a3d9a}" enabled="1" method="Standard" siteId="{5a5d3328-3a8d-4c52-b10f-c29932eef02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de Oliveira Vieira</dc:creator>
  <cp:lastModifiedBy>Guilherme Correia Lobato</cp:lastModifiedBy>
  <dcterms:created xsi:type="dcterms:W3CDTF">2024-03-05T14:26:41Z</dcterms:created>
  <dcterms:modified xsi:type="dcterms:W3CDTF">2025-06-05T12:27:50Z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696167-4fe8-4f44-b0ce-e39fb98fcc42_Enabled">
    <vt:lpwstr>true</vt:lpwstr>
  </property>
  <property fmtid="{D5CDD505-2E9C-101B-9397-08002B2CF9AE}" pid="3" name="MSIP_Label_e6696167-4fe8-4f44-b0ce-e39fb98fcc42_SetDate">
    <vt:lpwstr>2025-05-29T20:02:58Z</vt:lpwstr>
  </property>
  <property fmtid="{D5CDD505-2E9C-101B-9397-08002B2CF9AE}" pid="4" name="MSIP_Label_e6696167-4fe8-4f44-b0ce-e39fb98fcc42_Method">
    <vt:lpwstr>Standard</vt:lpwstr>
  </property>
  <property fmtid="{D5CDD505-2E9C-101B-9397-08002B2CF9AE}" pid="5" name="MSIP_Label_e6696167-4fe8-4f44-b0ce-e39fb98fcc42_Name">
    <vt:lpwstr>Restrito</vt:lpwstr>
  </property>
  <property fmtid="{D5CDD505-2E9C-101B-9397-08002B2CF9AE}" pid="6" name="MSIP_Label_e6696167-4fe8-4f44-b0ce-e39fb98fcc42_SiteId">
    <vt:lpwstr>29c71825-b62a-457c-9557-749249d1f51c</vt:lpwstr>
  </property>
  <property fmtid="{D5CDD505-2E9C-101B-9397-08002B2CF9AE}" pid="7" name="MSIP_Label_e6696167-4fe8-4f44-b0ce-e39fb98fcc42_ActionId">
    <vt:lpwstr>f75d7790-7ac0-4fd4-9248-1135f0bb778d</vt:lpwstr>
  </property>
  <property fmtid="{D5CDD505-2E9C-101B-9397-08002B2CF9AE}" pid="8" name="MSIP_Label_e6696167-4fe8-4f44-b0ce-e39fb98fcc42_ContentBits">
    <vt:lpwstr>1</vt:lpwstr>
  </property>
  <property fmtid="{D5CDD505-2E9C-101B-9397-08002B2CF9AE}" pid="9" name="MSIP_Label_e6696167-4fe8-4f44-b0ce-e39fb98fcc42_Tag">
    <vt:lpwstr>10, 3, 0, 1</vt:lpwstr>
  </property>
</Properties>
</file>